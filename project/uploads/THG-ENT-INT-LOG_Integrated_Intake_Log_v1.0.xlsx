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ake Log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<sst xmlns="http://schemas.openxmlformats.org/spreadsheetml/2006/main" count="99" uniqueCount="80">
  <si>
    <t xml:space="preserve">THERAGEN — Integrated Intake Log</t>
  </si>
  <si>
    <t xml:space="preserve">Document ID: THG-ENT-INT-LOG   ·   Version 1.0   ·   Baseline   ·   Companion to Intake Form THG-ENT-INT-001</t>
  </si>
  <si>
    <t xml:space="preserve">Intake ID</t>
  </si>
  <si>
    <t xml:space="preserve">Date submitted</t>
  </si>
  <si>
    <t xml:space="preserve">Date triaged</t>
  </si>
  <si>
    <t xml:space="preserve">Requester</t>
  </si>
  <si>
    <t xml:space="preserve">Department</t>
  </si>
  <si>
    <t xml:space="preserve">Request title</t>
  </si>
  <si>
    <t xml:space="preserve">Request type</t>
  </si>
  <si>
    <t xml:space="preserve">Primary dept (assigned)</t>
  </si>
  <si>
    <t xml:space="preserve">Secondary depts</t>
  </si>
  <si>
    <t xml:space="preserve">Compliance flags</t>
  </si>
  <si>
    <t xml:space="preserve">PHI?</t>
  </si>
  <si>
    <t xml:space="preserve">21 CFR Part 11?</t>
  </si>
  <si>
    <t xml:space="preserve">Clinical?</t>
  </si>
  <si>
    <t xml:space="preserve">Effort</t>
  </si>
  <si>
    <t xml:space="preserve">Budget envelope</t>
  </si>
  <si>
    <t xml:space="preserve">Decision</t>
  </si>
  <si>
    <t xml:space="preserve">Project ID</t>
  </si>
  <si>
    <t xml:space="preserve">Charter Doc ID</t>
  </si>
  <si>
    <t xml:space="preserve">Days to triage (calc)</t>
  </si>
  <si>
    <t xml:space="preserve">Status</t>
  </si>
  <si>
    <t xml:space="preserve">Triaged by</t>
  </si>
  <si>
    <t xml:space="preserve">Notes</t>
  </si>
  <si>
    <t xml:space="preserve">INT-2026-0001</t>
  </si>
  <si>
    <t xml:space="preserve">2026-05-04</t>
  </si>
  <si>
    <t xml:space="preserve">2026-05-05</t>
  </si>
  <si>
    <t xml:space="preserve">Dr. M. Patel</t>
  </si>
  <si>
    <t xml:space="preserve">Clinical / Medical Affairs</t>
  </si>
  <si>
    <t xml:space="preserve">Cardio device feasibility study</t>
  </si>
  <si>
    <t xml:space="preserve">Clinical or study request</t>
  </si>
  <si>
    <t xml:space="preserve">Regulatory, R&amp;D, IT</t>
  </si>
  <si>
    <t xml:space="preserve">21 CFR Part 11; HIPAA</t>
  </si>
  <si>
    <t xml:space="preserve">Y</t>
  </si>
  <si>
    <t xml:space="preserve">Medium</t>
  </si>
  <si>
    <t xml:space="preserve">$250k–1M</t>
  </si>
  <si>
    <t xml:space="preserve">Approved → Charter</t>
  </si>
  <si>
    <t xml:space="preserve">THG-CLN-CHR-014</t>
  </si>
  <si>
    <t xml:space="preserve">In flight</t>
  </si>
  <si>
    <t xml:space="preserve">PMO Triage</t>
  </si>
  <si>
    <t xml:space="preserve">Pre-screened with Regulatory.</t>
  </si>
  <si>
    <t xml:space="preserve">INT-2026-0002</t>
  </si>
  <si>
    <t xml:space="preserve">2026-05-11</t>
  </si>
  <si>
    <t xml:space="preserve">2026-05-12</t>
  </si>
  <si>
    <t xml:space="preserve">L. Okafor</t>
  </si>
  <si>
    <t xml:space="preserve">Finance / Procurement</t>
  </si>
  <si>
    <t xml:space="preserve">Vendor onboarding — outcomes analytics</t>
  </si>
  <si>
    <t xml:space="preserve">Vendor / procurement</t>
  </si>
  <si>
    <t xml:space="preserve">IT, Legal</t>
  </si>
  <si>
    <t xml:space="preserve">SOC 2</t>
  </si>
  <si>
    <t xml:space="preserve">N</t>
  </si>
  <si>
    <t xml:space="preserve">Small</t>
  </si>
  <si>
    <t xml:space="preserve">$25–250k</t>
  </si>
  <si>
    <t xml:space="preserve">Approved → Work Order</t>
  </si>
  <si>
    <t xml:space="preserve">THG-FIN-WRK-003</t>
  </si>
  <si>
    <t xml:space="preserve">—</t>
  </si>
  <si>
    <t xml:space="preserve">Security review scheduled.</t>
  </si>
  <si>
    <t xml:space="preserve">INT-2026-0003</t>
  </si>
  <si>
    <t xml:space="preserve">2026-05-18</t>
  </si>
  <si>
    <t xml:space="preserve">2026-05-19</t>
  </si>
  <si>
    <t xml:space="preserve">S. Chen</t>
  </si>
  <si>
    <t xml:space="preserve">IT / Data / Security</t>
  </si>
  <si>
    <t xml:space="preserve">EDC change — eCRF v3.2</t>
  </si>
  <si>
    <t xml:space="preserve">System change</t>
  </si>
  <si>
    <t xml:space="preserve">Clinical, Regulatory</t>
  </si>
  <si>
    <t xml:space="preserve">21 CFR Part 11</t>
  </si>
  <si>
    <t xml:space="preserve">$0–25k</t>
  </si>
  <si>
    <t xml:space="preserve">THG-IT-WRK-021</t>
  </si>
  <si>
    <t xml:space="preserve">Complete</t>
  </si>
  <si>
    <t xml:space="preserve">Validation pack attached.</t>
  </si>
  <si>
    <t xml:space="preserve">Intake Dashboard</t>
  </si>
  <si>
    <t xml:space="preserve">Live metrics over the Intake Log.</t>
  </si>
  <si>
    <t xml:space="preserve">Total submissions</t>
  </si>
  <si>
    <t xml:space="preserve">Returned</t>
  </si>
  <si>
    <t xml:space="preserve">Declined</t>
  </si>
  <si>
    <t xml:space="preserve">PHI-flagged</t>
  </si>
  <si>
    <t xml:space="preserve">21 CFR Part 11-flagged</t>
  </si>
  <si>
    <t xml:space="preserve">Clinical-flagged</t>
  </si>
  <si>
    <t xml:space="preserve">Avg days to triage</t>
  </si>
  <si>
    <t xml:space="preserve">Max days to triage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</si>
</sst>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Calibri"/>
      <family val="0"/>
      <charset val="1"/>
    </font>
    <font>
      <i val="true"/>
      <sz val="10"/>
      <color rgb="FF127A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F2A4A"/>
      <name val="Calibri"/>
      <family val="0"/>
      <charset val="1"/>
    </font>
    <font>
      <b val="true"/>
      <sz val="16"/>
      <color rgb="FF0F2A4A"/>
      <name val="Calibri"/>
      <family val="0"/>
      <charset val="1"/>
    </font>
    <font>
      <i val="true"/>
      <sz val="9"/>
      <color rgb="FF555B66"/>
      <name val="Calibri"/>
      <family val="0"/>
      <charset val="1"/>
    </font>
    <font>
      <b val="true"/>
      <sz val="11"/>
      <color rgb="FF0F2A4A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A4A"/>
        <bgColor rgb="FF333333"/>
      </patternFill>
    </fill>
    <fill>
      <patternFill patternType="solid">
        <fgColor rgb="FFF6F8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  <border diagonalUp="false" diagonalDown="false">
      <left style="thin">
        <color rgb="FFBFC6CF"/>
      </left>
      <right style="thin">
        <color rgb="FFBFC6CF"/>
      </right>
      <top style="thin">
        <color rgb="FFBFC6CF"/>
      </top>
      <bottom style="thin">
        <color rgb="FFBFC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8B"/>
      <rgbColor rgb="FFBFC6CF"/>
      <rgbColor rgb="FF808080"/>
      <rgbColor rgb="FF9999FF"/>
      <rgbColor rgb="FF993366"/>
      <rgbColor rgb="FFF6F8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0F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3"/>
    <col collapsed="false" customWidth="true" hidden="false" outlineLevel="0" max="4" min="4" style="1" width="18"/>
    <col collapsed="false" customWidth="true" hidden="false" outlineLevel="0" max="5" min="5" style="1" width="26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9" min="8" style="1" width="24"/>
    <col collapsed="false" customWidth="true" hidden="false" outlineLevel="0" max="10" min="10" style="1" width="22"/>
    <col collapsed="false" customWidth="true" hidden="false" outlineLevel="0" max="11" min="11" style="1" width="7"/>
    <col collapsed="false" customWidth="true" hidden="false" outlineLevel="0" max="12" min="12" style="1" width="11"/>
    <col collapsed="false" customWidth="true" hidden="false" outlineLevel="0" max="14" min="13" style="1" width="9"/>
    <col collapsed="false" customWidth="true" hidden="false" outlineLevel="0" max="15" min="15" style="1" width="14"/>
    <col collapsed="false" customWidth="true" hidden="false" outlineLevel="0" max="16" min="16" style="1" width="22"/>
    <col collapsed="false" customWidth="true" hidden="false" outlineLevel="0" max="18" min="17" style="1" width="18"/>
    <col collapsed="false" customWidth="true" hidden="false" outlineLevel="0" max="20" min="19" style="1" width="12"/>
    <col collapsed="false" customWidth="true" hidden="false" outlineLevel="0" max="21" min="21" style="1" width="16"/>
    <col collapsed="false" customWidth="true" hidden="false" outlineLevel="0" max="22" min="22" style="1" width="3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5" hidden="false" customHeight="false" outlineLevel="0" collapsed="false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28</v>
      </c>
      <c r="I5" s="5" t="s">
        <v>31</v>
      </c>
      <c r="J5" s="5" t="s">
        <v>32</v>
      </c>
      <c r="K5" s="5" t="s">
        <v>33</v>
      </c>
      <c r="L5" s="5" t="s">
        <v>33</v>
      </c>
      <c r="M5" s="5" t="s">
        <v>33</v>
      </c>
      <c r="N5" s="5" t="s">
        <v>34</v>
      </c>
      <c r="O5" s="5" t="s">
        <v>35</v>
      </c>
      <c r="P5" s="5" t="s">
        <v>36</v>
      </c>
      <c r="Q5" s="5" t="s">
        <v>37</v>
      </c>
      <c r="R5" s="5" t="s">
        <v>37</v>
      </c>
      <c r="S5" s="6" t="str">
        <f aca="false">IF(AND(ISNUMBER(B5),ISNUMBER(C5)),C5-B5,"")</f>
        <v/>
      </c>
      <c r="T5" s="5" t="s">
        <v>38</v>
      </c>
      <c r="U5" s="5" t="s">
        <v>39</v>
      </c>
      <c r="V5" s="5" t="s">
        <v>40</v>
      </c>
    </row>
    <row r="6" customFormat="false" ht="20.85" hidden="false" customHeight="false" outlineLevel="0" collapsed="false">
      <c r="A6" s="7" t="s">
        <v>41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 t="s">
        <v>45</v>
      </c>
      <c r="I6" s="7" t="s">
        <v>48</v>
      </c>
      <c r="J6" s="7" t="s">
        <v>49</v>
      </c>
      <c r="K6" s="7" t="s">
        <v>50</v>
      </c>
      <c r="L6" s="7" t="s">
        <v>50</v>
      </c>
      <c r="M6" s="7" t="s">
        <v>50</v>
      </c>
      <c r="N6" s="7" t="s">
        <v>51</v>
      </c>
      <c r="O6" s="7" t="s">
        <v>52</v>
      </c>
      <c r="P6" s="7" t="s">
        <v>53</v>
      </c>
      <c r="Q6" s="7" t="s">
        <v>54</v>
      </c>
      <c r="R6" s="7" t="s">
        <v>55</v>
      </c>
      <c r="S6" s="8" t="str">
        <f aca="false">IF(AND(ISNUMBER(B6),ISNUMBER(C6)),C6-B6,"")</f>
        <v/>
      </c>
      <c r="T6" s="7" t="s">
        <v>38</v>
      </c>
      <c r="U6" s="7" t="s">
        <v>39</v>
      </c>
      <c r="V6" s="7" t="s">
        <v>56</v>
      </c>
    </row>
    <row r="7" customFormat="false" ht="15" hidden="false" customHeight="false" outlineLevel="0" collapsed="false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61</v>
      </c>
      <c r="I7" s="5" t="s">
        <v>64</v>
      </c>
      <c r="J7" s="5" t="s">
        <v>65</v>
      </c>
      <c r="K7" s="5" t="s">
        <v>50</v>
      </c>
      <c r="L7" s="5" t="s">
        <v>33</v>
      </c>
      <c r="M7" s="5" t="s">
        <v>33</v>
      </c>
      <c r="N7" s="5" t="s">
        <v>51</v>
      </c>
      <c r="O7" s="5" t="s">
        <v>66</v>
      </c>
      <c r="P7" s="5" t="s">
        <v>53</v>
      </c>
      <c r="Q7" s="5" t="s">
        <v>67</v>
      </c>
      <c r="R7" s="5" t="s">
        <v>55</v>
      </c>
      <c r="S7" s="6" t="str">
        <f aca="false">IF(AND(ISNUMBER(B7),ISNUMBER(C7)),C7-B7,"")</f>
        <v/>
      </c>
      <c r="T7" s="5" t="s">
        <v>68</v>
      </c>
      <c r="U7" s="5" t="s">
        <v>39</v>
      </c>
      <c r="V7" s="5" t="s">
        <v>69</v>
      </c>
    </row>
  </sheetData>
  <dataValidations count="4">
    <dataValidation allowBlank="true" errorStyle="stop" operator="between" showDropDown="false" showErrorMessage="false" showInputMessage="false" sqref="K5:M204" type="list">
      <formula1>"Y,N"</formula1>
      <formula2>0</formula2>
    </dataValidation>
    <dataValidation allowBlank="true" errorStyle="stop" operator="between" showDropDown="false" showErrorMessage="false" showInputMessage="false" sqref="P5:P204" type="list">
      <formula1>"Approved → Charter,Approved → Work Order,Returned for clarification,Declined,Pending"</formula1>
      <formula2>0</formula2>
    </dataValidation>
    <dataValidation allowBlank="true" errorStyle="stop" operator="between" showDropDown="false" showErrorMessage="false" showInputMessage="false" sqref="N5:N204" type="list">
      <formula1>"Small,Medium,Large,Program"</formula1>
      <formula2>0</formula2>
    </dataValidation>
    <dataValidation allowBlank="true" errorStyle="stop" operator="between" showDropDown="false" showErrorMessage="false" showInputMessage="false" sqref="T5:T204" type="list">
      <formula1>"Submitted,Triaged,In flight,Paused,Complete,Declined"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</cols>
  <sheetData>
    <row r="1" customFormat="false" ht="19.7" hidden="false" customHeight="false" outlineLevel="0" collapsed="false">
      <c r="A1" s="9" t="s">
        <v>70</v>
      </c>
    </row>
    <row r="2" customFormat="false" ht="15" hidden="false" customHeight="false" outlineLevel="0" collapsed="false">
      <c r="A2" s="10" t="s">
        <v>71</v>
      </c>
    </row>
    <row r="4" customFormat="false" ht="15" hidden="false" customHeight="false" outlineLevel="0" collapsed="false">
      <c r="A4" s="11" t="s">
        <v>72</v>
      </c>
      <c r="B4" s="12" t="n">
        <f aca="false">COUNTA('Intake Log'!A5:A204)</f>
        <v>3</v>
      </c>
    </row>
    <row r="5" customFormat="false" ht="15" hidden="false" customHeight="false" outlineLevel="0" collapsed="false">
      <c r="A5" s="11" t="s">
        <v>36</v>
      </c>
      <c r="B5" s="12" t="n">
        <f aca="false">COUNTIF('Intake Log'!P5:P204,"Approved → Charter")</f>
        <v>1</v>
      </c>
    </row>
    <row r="6" customFormat="false" ht="15" hidden="false" customHeight="false" outlineLevel="0" collapsed="false">
      <c r="A6" s="11" t="s">
        <v>53</v>
      </c>
      <c r="B6" s="12" t="n">
        <f aca="false">COUNTIF('Intake Log'!P5:P204,"Approved → Work Order")</f>
        <v>2</v>
      </c>
    </row>
    <row r="7" customFormat="false" ht="15" hidden="false" customHeight="false" outlineLevel="0" collapsed="false">
      <c r="A7" s="11" t="s">
        <v>73</v>
      </c>
      <c r="B7" s="12" t="n">
        <f aca="false">COUNTIF('Intake Log'!P5:P204,"Returned for clarification")</f>
        <v>0</v>
      </c>
    </row>
    <row r="8" customFormat="false" ht="15" hidden="false" customHeight="false" outlineLevel="0" collapsed="false">
      <c r="A8" s="11" t="s">
        <v>74</v>
      </c>
      <c r="B8" s="12" t="n">
        <f aca="false">COUNTIF('Intake Log'!P5:P204,"Declined")</f>
        <v>0</v>
      </c>
    </row>
    <row r="9" customFormat="false" ht="15" hidden="false" customHeight="false" outlineLevel="0" collapsed="false">
      <c r="A9" s="11" t="s">
        <v>75</v>
      </c>
      <c r="B9" s="12" t="n">
        <f aca="false">COUNTIF('Intake Log'!K5:K204,"Y")</f>
        <v>1</v>
      </c>
    </row>
    <row r="10" customFormat="false" ht="15" hidden="false" customHeight="false" outlineLevel="0" collapsed="false">
      <c r="A10" s="11" t="s">
        <v>76</v>
      </c>
      <c r="B10" s="12" t="n">
        <f aca="false">COUNTIF('Intake Log'!L5:L204,"Y")</f>
        <v>2</v>
      </c>
    </row>
    <row r="11" customFormat="false" ht="15" hidden="false" customHeight="false" outlineLevel="0" collapsed="false">
      <c r="A11" s="11" t="s">
        <v>77</v>
      </c>
      <c r="B11" s="12" t="n">
        <f aca="false">COUNTIF('Intake Log'!M5:M204,"Y")</f>
        <v>2</v>
      </c>
    </row>
    <row r="12" customFormat="false" ht="15" hidden="false" customHeight="false" outlineLevel="0" collapsed="false">
      <c r="A12" s="11" t="s">
        <v>78</v>
      </c>
      <c r="B12" s="12" t="str">
        <f aca="false">IFERROR(ROUND(AVERAGEIF('Intake Log'!S5:S204,"&gt;=0"),1),"—")</f>
        <v>—</v>
      </c>
    </row>
    <row r="13" customFormat="false" ht="15" hidden="false" customHeight="false" outlineLevel="0" collapsed="false">
      <c r="A13" s="11" t="s">
        <v>79</v>
      </c>
      <c r="B13" s="12" t="n">
        <f aca="false">IFERROR(MAX('Intake Log'!S5:S204),"—")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2026-05-26T19:58:46Z</dcterms:created>
  <dc:creator>openpyxl</dc:creator>
  <dc:description/>
  <dc:language>en-US</dc:language>
  <cp:lastModifiedBy/>
  <dcterms:modified xsi:type="dcterms:W3CDTF">2026-05-26T19:58:46Z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