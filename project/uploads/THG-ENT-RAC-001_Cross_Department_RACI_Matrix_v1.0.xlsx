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rtifact RACI" sheetId="2" state="visible" r:id="rId4"/>
    <sheet name="Intake Process RACI" sheetId="3" state="visible" r:id="rId5"/>
    <sheet name="Legen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<sst xmlns="http://schemas.openxmlformats.org/spreadsheetml/2006/main" count="393" uniqueCount="119">
  <si>
    <t xml:space="preserve">THERAGEN — Cross-Department RACI Matrix</t>
  </si>
  <si>
    <t xml:space="preserve">Document ID: THG-ENT-RAC-001   ·   Version 1.0   ·   Baseline</t>
  </si>
  <si>
    <t xml:space="preserve">Purpose</t>
  </si>
  <si>
    <t xml:space="preserve">Single source of truth for which department plays which role on every Theragen artifact and intake-process step. Used together with the Documentation Standards Guide (THG-ENT-STD-001) and the Master Document Index (THG-ENT-IDX-001).</t>
  </si>
  <si>
    <t xml:space="preserve">How to read</t>
  </si>
  <si>
    <t xml:space="preserve">Each row is an artifact or intake step. Each column is a department. Each cell carries one of:</t>
  </si>
  <si>
    <t xml:space="preserve">R</t>
  </si>
  <si>
    <t xml:space="preserve">Responsible — does the work. Multiple R per row allowed.</t>
  </si>
  <si>
    <t xml:space="preserve">A</t>
  </si>
  <si>
    <t xml:space="preserve">Accountable — owns the outcome. EXACTLY ONE A per row.</t>
  </si>
  <si>
    <t xml:space="preserve">C</t>
  </si>
  <si>
    <t xml:space="preserve">Consulted — two-way input before decision.</t>
  </si>
  <si>
    <t xml:space="preserve">I</t>
  </si>
  <si>
    <t xml:space="preserve">Informed — one-way notification after decision.</t>
  </si>
  <si>
    <t xml:space="preserve">Blank</t>
  </si>
  <si>
    <t xml:space="preserve">Department not engaged on this row.</t>
  </si>
  <si>
    <t xml:space="preserve">Tailoring</t>
  </si>
  <si>
    <t xml:space="preserve">Individual project documents may TIGHTEN this matrix (e.g., elevate a C to R) but may not LOOSEN it (e.g., drop an A or strip a Consulted department). Tailoring is recorded in the document's own RACI footprint.</t>
  </si>
  <si>
    <t xml:space="preserve">Review cycle</t>
  </si>
  <si>
    <t xml:space="preserve">Annual, or upon major change to the Theragen org chart.</t>
  </si>
  <si>
    <t xml:space="preserve">Owner</t>
  </si>
  <si>
    <t xml:space="preserve">PMO Director</t>
  </si>
  <si>
    <t xml:space="preserve">Approver</t>
  </si>
  <si>
    <t xml:space="preserve">Chief Operating Officer</t>
  </si>
  <si>
    <t xml:space="preserve">Artifact-level RACI</t>
  </si>
  <si>
    <t xml:space="preserve">Each row is one Theragen document. Each column shows that department's role on that document.</t>
  </si>
  <si>
    <t xml:space="preserve">Document ID</t>
  </si>
  <si>
    <t xml:space="preserve">Lifecycle Phase</t>
  </si>
  <si>
    <t xml:space="preserve">Document Title</t>
  </si>
  <si>
    <t xml:space="preserve">CLN</t>
  </si>
  <si>
    <t xml:space="preserve">REG</t>
  </si>
  <si>
    <t xml:space="preserve">RND</t>
  </si>
  <si>
    <t xml:space="preserve">OPS</t>
  </si>
  <si>
    <t xml:space="preserve">FIN</t>
  </si>
  <si>
    <t xml:space="preserve">COM</t>
  </si>
  <si>
    <t xml:space="preserve">IT</t>
  </si>
  <si>
    <t xml:space="preserve">HR</t>
  </si>
  <si>
    <t xml:space="preserve">A-check</t>
  </si>
  <si>
    <t xml:space="preserve">Clinical / Medical Affairs</t>
  </si>
  <si>
    <t xml:space="preserve">Regulatory / Quality</t>
  </si>
  <si>
    <t xml:space="preserve">R&amp;D / Engineering</t>
  </si>
  <si>
    <t xml:space="preserve">Operations / PMO</t>
  </si>
  <si>
    <t xml:space="preserve">Finance / Procurement</t>
  </si>
  <si>
    <t xml:space="preserve">Commercial / Marketing</t>
  </si>
  <si>
    <t xml:space="preserve">IT / Data / Security</t>
  </si>
  <si>
    <t xml:space="preserve">HR / People</t>
  </si>
  <si>
    <t xml:space="preserve">THG-ENT-INT-001</t>
  </si>
  <si>
    <t xml:space="preserve">Intake</t>
  </si>
  <si>
    <t xml:space="preserve">Integrated Intake Form</t>
  </si>
  <si>
    <t xml:space="preserve">THG-OPS-CHR-001</t>
  </si>
  <si>
    <t xml:space="preserve">Initiating</t>
  </si>
  <si>
    <t xml:space="preserve">Project Charter</t>
  </si>
  <si>
    <t xml:space="preserve">THG-OPS-STK-001</t>
  </si>
  <si>
    <t xml:space="preserve">Stakeholder Register</t>
  </si>
  <si>
    <t xml:space="preserve">THG-OPS-SCP-001</t>
  </si>
  <si>
    <t xml:space="preserve">Planning</t>
  </si>
  <si>
    <t xml:space="preserve">Project Scope Statement</t>
  </si>
  <si>
    <t xml:space="preserve">THG-OPS-WBS-001</t>
  </si>
  <si>
    <t xml:space="preserve">Work Breakdown Structure</t>
  </si>
  <si>
    <t xml:space="preserve">THG-OPS-WBD-001</t>
  </si>
  <si>
    <t xml:space="preserve">WBS Dictionary</t>
  </si>
  <si>
    <t xml:space="preserve">THG-OPS-SCH-001</t>
  </si>
  <si>
    <t xml:space="preserve">Project Schedule</t>
  </si>
  <si>
    <t xml:space="preserve">THG-OPS-BUD-001</t>
  </si>
  <si>
    <t xml:space="preserve">Cost / Budget Estimate</t>
  </si>
  <si>
    <t xml:space="preserve">THG-OPS-PMP-001</t>
  </si>
  <si>
    <t xml:space="preserve">Project Management Plan</t>
  </si>
  <si>
    <t xml:space="preserve">THG-OPS-RSK-001</t>
  </si>
  <si>
    <t xml:space="preserve">Risk Register &amp; Plan</t>
  </si>
  <si>
    <t xml:space="preserve">THG-OPS-COM-001</t>
  </si>
  <si>
    <t xml:space="preserve">Communications Management Plan</t>
  </si>
  <si>
    <t xml:space="preserve">THG-OPS-QLP-001</t>
  </si>
  <si>
    <t xml:space="preserve">Quality Management Plan</t>
  </si>
  <si>
    <t xml:space="preserve">THG-OPS-CHG-001</t>
  </si>
  <si>
    <t xml:space="preserve">Executing</t>
  </si>
  <si>
    <t xml:space="preserve">Change Log &amp; Change Request</t>
  </si>
  <si>
    <t xml:space="preserve">THG-OPS-STA-001</t>
  </si>
  <si>
    <t xml:space="preserve">Monitoring</t>
  </si>
  <si>
    <t xml:space="preserve">Project Status Report</t>
  </si>
  <si>
    <t xml:space="preserve">THG-OPS-LLN-001</t>
  </si>
  <si>
    <t xml:space="preserve">Closing</t>
  </si>
  <si>
    <t xml:space="preserve">Lessons Learned &amp; Closure</t>
  </si>
  <si>
    <t xml:space="preserve">THG-ENT-RAC-001</t>
  </si>
  <si>
    <t xml:space="preserve">Governance</t>
  </si>
  <si>
    <t xml:space="preserve">Cross-Department RACI Matrix</t>
  </si>
  <si>
    <t xml:space="preserve">THG-ENT-IDX-001</t>
  </si>
  <si>
    <t xml:space="preserve">Master Document Index</t>
  </si>
  <si>
    <t xml:space="preserve">THG-ENT-STD-001</t>
  </si>
  <si>
    <t xml:space="preserve">Documentation Standards Guide</t>
  </si>
  <si>
    <t xml:space="preserve">Accountabilities per department →</t>
  </si>
  <si>
    <t xml:space="preserve">Integrated Intake — Process-step RACI</t>
  </si>
  <si>
    <t xml:space="preserve">Each row is one step in the cross-department intake workflow.</t>
  </si>
  <si>
    <t xml:space="preserve">#</t>
  </si>
  <si>
    <t xml:space="preserve">Intake Step</t>
  </si>
  <si>
    <t xml:space="preserve">Submit request</t>
  </si>
  <si>
    <t xml:space="preserve">Triage &amp; route</t>
  </si>
  <si>
    <t xml:space="preserve">Assign Intake ID &amp; primary owner</t>
  </si>
  <si>
    <t xml:space="preserve">Compliance pre-screen (PHI / 21 CFR)</t>
  </si>
  <si>
    <t xml:space="preserve">Resource &amp; budget pre-check</t>
  </si>
  <si>
    <t xml:space="preserve">Charter or work-order decision</t>
  </si>
  <si>
    <t xml:space="preserve">Kickoff &amp; artifact creation</t>
  </si>
  <si>
    <t xml:space="preserve">Status reporting cadence</t>
  </si>
  <si>
    <t xml:space="preserve">Change control</t>
  </si>
  <si>
    <t xml:space="preserve">Closure &amp; lessons learned</t>
  </si>
  <si>
    <t xml:space="preserve">Legend &amp; Conventions</t>
  </si>
  <si>
    <t xml:space="preserve">Code</t>
  </si>
  <si>
    <t xml:space="preserve">Role</t>
  </si>
  <si>
    <t xml:space="preserve">Meaning</t>
  </si>
  <si>
    <t xml:space="preserve">Responsible</t>
  </si>
  <si>
    <t xml:space="preserve">Does the work. Multiple R per row allowed.</t>
  </si>
  <si>
    <t xml:space="preserve">Accountable</t>
  </si>
  <si>
    <t xml:space="preserve">Owns the outcome. EXACTLY ONE A per row.</t>
  </si>
  <si>
    <t xml:space="preserve">Consulted</t>
  </si>
  <si>
    <t xml:space="preserve">Two-way input before decision.</t>
  </si>
  <si>
    <t xml:space="preserve">Informed</t>
  </si>
  <si>
    <t xml:space="preserve">One-way notification after decision.</t>
  </si>
  <si>
    <t xml:space="preserve">(blank)</t>
  </si>
  <si>
    <t xml:space="preserve">Department codes used in headers:</t>
  </si>
  <si>
    <t xml:space="preserve">Department</t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</si>
</sst>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F2A4A"/>
      <name val="Calibri"/>
      <family val="0"/>
      <charset val="1"/>
    </font>
    <font>
      <i val="true"/>
      <sz val="10"/>
      <color rgb="FF127A8B"/>
      <name val="Calibri"/>
      <family val="0"/>
      <charset val="1"/>
    </font>
    <font>
      <b val="true"/>
      <sz val="10"/>
      <color rgb="FF0F2A4A"/>
      <name val="Calibri"/>
      <family val="0"/>
      <charset val="1"/>
    </font>
    <font>
      <sz val="10"/>
      <name val="Calibri"/>
      <family val="0"/>
      <charset val="1"/>
    </font>
    <font>
      <b val="true"/>
      <sz val="14"/>
      <color rgb="FF0F2A4A"/>
      <name val="Calibri"/>
      <family val="0"/>
      <charset val="1"/>
    </font>
    <font>
      <i val="true"/>
      <sz val="9"/>
      <color rgb="FF555B66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8"/>
      <color rgb="FF555B66"/>
      <name val="Calibri"/>
      <family val="0"/>
      <charset val="1"/>
    </font>
    <font>
      <b val="true"/>
      <sz val="10"/>
      <color rgb="FF0B3A8C"/>
      <name val="Calibri"/>
      <family val="0"/>
      <charset val="1"/>
    </font>
    <font>
      <b val="true"/>
      <sz val="10"/>
      <color rgb="FF7C5803"/>
      <name val="Calibri"/>
      <family val="0"/>
      <charset val="1"/>
    </font>
    <font>
      <b val="true"/>
      <sz val="10"/>
      <color rgb="FF41464B"/>
      <name val="Calibri"/>
      <family val="0"/>
      <charset val="1"/>
    </font>
    <font>
      <b val="true"/>
      <sz val="10"/>
      <color rgb="FF0F5132"/>
      <name val="Calibri"/>
      <family val="0"/>
      <charset val="1"/>
    </font>
    <font>
      <b val="true"/>
      <i val="true"/>
      <sz val="10"/>
      <color rgb="FF0F2A4A"/>
      <name val="Calibri"/>
      <family val="0"/>
      <charset val="1"/>
    </font>
    <font>
      <b val="true"/>
      <sz val="11"/>
      <color rgb="FF0F2A4A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F2A4A"/>
        <bgColor rgb="FF0B3A8C"/>
      </patternFill>
    </fill>
    <fill>
      <patternFill patternType="solid">
        <fgColor rgb="FFCFE2FF"/>
        <bgColor rgb="FFE2E3E5"/>
      </patternFill>
    </fill>
    <fill>
      <patternFill patternType="solid">
        <fgColor rgb="FFFFE08A"/>
        <bgColor rgb="FFFFFF99"/>
      </patternFill>
    </fill>
    <fill>
      <patternFill patternType="solid">
        <fgColor rgb="FFF6F8FB"/>
        <bgColor rgb="FFFFFFFF"/>
      </patternFill>
    </fill>
    <fill>
      <patternFill patternType="solid">
        <fgColor rgb="FFE2E3E5"/>
        <bgColor rgb="FFD4EFDA"/>
      </patternFill>
    </fill>
    <fill>
      <patternFill patternType="solid">
        <fgColor rgb="FFD4EFDA"/>
        <bgColor rgb="FFE2E3E5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0F2A4A"/>
      </left>
      <right style="thin">
        <color rgb="FF0F2A4A"/>
      </right>
      <top style="thin">
        <color rgb="FF0F2A4A"/>
      </top>
      <bottom style="thin">
        <color rgb="FF0F2A4A"/>
      </bottom>
      <diagonal/>
    </border>
    <border diagonalUp="false" diagonalDown="false">
      <left style="thin">
        <color rgb="FFBFC6CF"/>
      </left>
      <right style="thin">
        <color rgb="FFBFC6CF"/>
      </right>
      <top style="thin">
        <color rgb="FFBFC6CF"/>
      </top>
      <bottom style="thin">
        <color rgb="FFBFC6CF"/>
      </bottom>
      <diagonal/>
    </border>
    <border diagonalUp="false" diagonalDown="false">
      <left/>
      <right/>
      <top style="medium">
        <color rgb="FF0F2A4A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4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C5803"/>
      <rgbColor rgb="FF800080"/>
      <rgbColor rgb="FF127A8B"/>
      <rgbColor rgb="FFBFC6CF"/>
      <rgbColor rgb="FF808080"/>
      <rgbColor rgb="FF9999FF"/>
      <rgbColor rgb="FF993366"/>
      <rgbColor rgb="FFF6F8FB"/>
      <rgbColor rgb="FFE2E3E5"/>
      <rgbColor rgb="FF660066"/>
      <rgbColor rgb="FFFF8080"/>
      <rgbColor rgb="FF0066CC"/>
      <rgbColor rgb="FFCFE2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FDA"/>
      <rgbColor rgb="FFFFFF99"/>
      <rgbColor rgb="FF99CCFF"/>
      <rgbColor rgb="FFFF99CC"/>
      <rgbColor rgb="FFCC99FF"/>
      <rgbColor rgb="FFFFE08A"/>
      <rgbColor rgb="FF3366FF"/>
      <rgbColor rgb="FF33CCCC"/>
      <rgbColor rgb="FF99CC00"/>
      <rgbColor rgb="FFFFCC00"/>
      <rgbColor rgb="FFFF9900"/>
      <rgbColor rgb="FFFF6600"/>
      <rgbColor rgb="FF555B66"/>
      <rgbColor rgb="FF969696"/>
      <rgbColor rgb="FF0F2A4A"/>
      <rgbColor rgb="FF339966"/>
      <rgbColor rgb="FF0F5132"/>
      <rgbColor rgb="FF333300"/>
      <rgbColor rgb="FF993300"/>
      <rgbColor rgb="FF993366"/>
      <rgbColor rgb="FF0B3A8C"/>
      <rgbColor rgb="FF41464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10"/>
  </cols>
  <sheetData>
    <row r="1" customFormat="false" ht="22.0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4" customFormat="false" ht="27.75" hidden="false" customHeight="true" outlineLevel="0" collapsed="false">
      <c r="A4" s="4"/>
      <c r="B4" s="5"/>
    </row>
    <row r="5" customFormat="false" ht="27.75" hidden="false" customHeight="true" outlineLevel="0" collapsed="false">
      <c r="A5" s="4" t="s">
        <v>2</v>
      </c>
      <c r="B5" s="5" t="s">
        <v>3</v>
      </c>
    </row>
    <row r="6" customFormat="false" ht="27.75" hidden="false" customHeight="true" outlineLevel="0" collapsed="false">
      <c r="A6" s="4" t="s">
        <v>4</v>
      </c>
      <c r="B6" s="5" t="s">
        <v>5</v>
      </c>
    </row>
    <row r="7" customFormat="false" ht="27.75" hidden="false" customHeight="true" outlineLevel="0" collapsed="false">
      <c r="A7" s="4" t="s">
        <v>6</v>
      </c>
      <c r="B7" s="5" t="s">
        <v>7</v>
      </c>
    </row>
    <row r="8" customFormat="false" ht="27.75" hidden="false" customHeight="true" outlineLevel="0" collapsed="false">
      <c r="A8" s="4" t="s">
        <v>8</v>
      </c>
      <c r="B8" s="5" t="s">
        <v>9</v>
      </c>
    </row>
    <row r="9" customFormat="false" ht="27.75" hidden="false" customHeight="true" outlineLevel="0" collapsed="false">
      <c r="A9" s="4" t="s">
        <v>10</v>
      </c>
      <c r="B9" s="5" t="s">
        <v>11</v>
      </c>
    </row>
    <row r="10" customFormat="false" ht="27.75" hidden="false" customHeight="true" outlineLevel="0" collapsed="false">
      <c r="A10" s="4" t="s">
        <v>12</v>
      </c>
      <c r="B10" s="5" t="s">
        <v>13</v>
      </c>
    </row>
    <row r="11" customFormat="false" ht="27.75" hidden="false" customHeight="true" outlineLevel="0" collapsed="false">
      <c r="A11" s="4" t="s">
        <v>14</v>
      </c>
      <c r="B11" s="5" t="s">
        <v>15</v>
      </c>
    </row>
    <row r="12" customFormat="false" ht="27.75" hidden="false" customHeight="true" outlineLevel="0" collapsed="false">
      <c r="A12" s="4"/>
      <c r="B12" s="5"/>
    </row>
    <row r="13" customFormat="false" ht="27.75" hidden="false" customHeight="true" outlineLevel="0" collapsed="false">
      <c r="A13" s="4" t="s">
        <v>16</v>
      </c>
      <c r="B13" s="5" t="s">
        <v>17</v>
      </c>
    </row>
    <row r="14" customFormat="false" ht="27.75" hidden="false" customHeight="true" outlineLevel="0" collapsed="false">
      <c r="A14" s="4" t="s">
        <v>18</v>
      </c>
      <c r="B14" s="5" t="s">
        <v>19</v>
      </c>
    </row>
    <row r="15" customFormat="false" ht="27.75" hidden="false" customHeight="true" outlineLevel="0" collapsed="false">
      <c r="A15" s="4" t="s">
        <v>20</v>
      </c>
      <c r="B15" s="5" t="s">
        <v>21</v>
      </c>
    </row>
    <row r="16" customFormat="false" ht="27.75" hidden="false" customHeight="true" outlineLevel="0" collapsed="false">
      <c r="A16" s="4" t="s">
        <v>22</v>
      </c>
      <c r="B16" s="5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4"/>
    <col collapsed="false" customWidth="true" hidden="false" outlineLevel="0" max="3" min="3" style="1" width="36"/>
    <col collapsed="false" customWidth="true" hidden="false" outlineLevel="0" max="12" min="4" style="1" width="9"/>
  </cols>
  <sheetData>
    <row r="1" customFormat="false" ht="17.35" hidden="false" customHeight="false" outlineLevel="0" collapsed="false">
      <c r="A1" s="6" t="s">
        <v>24</v>
      </c>
    </row>
    <row r="2" customFormat="false" ht="15" hidden="false" customHeight="false" outlineLevel="0" collapsed="false">
      <c r="A2" s="7" t="s">
        <v>25</v>
      </c>
    </row>
    <row r="4" customFormat="false" ht="31.5" hidden="false" customHeight="true" outlineLevel="0" collapsed="false">
      <c r="A4" s="8" t="s">
        <v>26</v>
      </c>
      <c r="B4" s="8" t="s">
        <v>27</v>
      </c>
      <c r="C4" s="8" t="s">
        <v>28</v>
      </c>
      <c r="D4" s="8" t="s">
        <v>29</v>
      </c>
      <c r="E4" s="8" t="s">
        <v>30</v>
      </c>
      <c r="F4" s="8" t="s">
        <v>31</v>
      </c>
      <c r="G4" s="8" t="s">
        <v>32</v>
      </c>
      <c r="H4" s="8" t="s">
        <v>33</v>
      </c>
      <c r="I4" s="8" t="s">
        <v>34</v>
      </c>
      <c r="J4" s="8" t="s">
        <v>35</v>
      </c>
      <c r="K4" s="8" t="s">
        <v>36</v>
      </c>
      <c r="L4" s="8" t="s">
        <v>37</v>
      </c>
    </row>
    <row r="5" customFormat="false" ht="30" hidden="false" customHeight="true" outlineLevel="0" collapsed="false">
      <c r="A5" s="9"/>
      <c r="B5" s="9"/>
      <c r="C5" s="9"/>
      <c r="D5" s="10" t="s">
        <v>38</v>
      </c>
      <c r="E5" s="10" t="s">
        <v>39</v>
      </c>
      <c r="F5" s="10" t="s">
        <v>40</v>
      </c>
      <c r="G5" s="10" t="s">
        <v>41</v>
      </c>
      <c r="H5" s="10" t="s">
        <v>42</v>
      </c>
      <c r="I5" s="10" t="s">
        <v>43</v>
      </c>
      <c r="J5" s="10" t="s">
        <v>44</v>
      </c>
      <c r="K5" s="10" t="s">
        <v>45</v>
      </c>
      <c r="L5" s="9"/>
    </row>
    <row r="6" customFormat="false" ht="15" hidden="false" customHeight="false" outlineLevel="0" collapsed="false">
      <c r="A6" s="11" t="s">
        <v>46</v>
      </c>
      <c r="B6" s="11" t="s">
        <v>47</v>
      </c>
      <c r="C6" s="11" t="s">
        <v>48</v>
      </c>
      <c r="D6" s="12" t="s">
        <v>10</v>
      </c>
      <c r="E6" s="12" t="s">
        <v>10</v>
      </c>
      <c r="F6" s="12" t="s">
        <v>10</v>
      </c>
      <c r="G6" s="13" t="s">
        <v>8</v>
      </c>
      <c r="H6" s="12" t="s">
        <v>10</v>
      </c>
      <c r="I6" s="12" t="s">
        <v>10</v>
      </c>
      <c r="J6" s="12" t="s">
        <v>10</v>
      </c>
      <c r="K6" s="12" t="s">
        <v>10</v>
      </c>
      <c r="L6" s="14" t="str">
        <f aca="false">IF(COUNTIF(D6:K6,"A")=1,"OK","FIX")</f>
        <v>OK</v>
      </c>
    </row>
    <row r="7" customFormat="false" ht="15" hidden="false" customHeight="false" outlineLevel="0" collapsed="false">
      <c r="A7" s="15" t="s">
        <v>49</v>
      </c>
      <c r="B7" s="15" t="s">
        <v>50</v>
      </c>
      <c r="C7" s="15" t="s">
        <v>51</v>
      </c>
      <c r="D7" s="12" t="s">
        <v>10</v>
      </c>
      <c r="E7" s="12" t="s">
        <v>10</v>
      </c>
      <c r="F7" s="12" t="s">
        <v>10</v>
      </c>
      <c r="G7" s="13" t="s">
        <v>8</v>
      </c>
      <c r="H7" s="12" t="s">
        <v>10</v>
      </c>
      <c r="I7" s="12" t="s">
        <v>10</v>
      </c>
      <c r="J7" s="16" t="s">
        <v>12</v>
      </c>
      <c r="K7" s="16" t="s">
        <v>12</v>
      </c>
      <c r="L7" s="17" t="str">
        <f aca="false">IF(COUNTIF(D7:K7,"A")=1,"OK","FIX")</f>
        <v>OK</v>
      </c>
    </row>
    <row r="8" customFormat="false" ht="15" hidden="false" customHeight="false" outlineLevel="0" collapsed="false">
      <c r="A8" s="11" t="s">
        <v>52</v>
      </c>
      <c r="B8" s="11" t="s">
        <v>50</v>
      </c>
      <c r="C8" s="11" t="s">
        <v>53</v>
      </c>
      <c r="D8" s="12" t="s">
        <v>10</v>
      </c>
      <c r="E8" s="12" t="s">
        <v>10</v>
      </c>
      <c r="F8" s="12" t="s">
        <v>10</v>
      </c>
      <c r="G8" s="13" t="s">
        <v>8</v>
      </c>
      <c r="H8" s="16" t="s">
        <v>12</v>
      </c>
      <c r="I8" s="12" t="s">
        <v>10</v>
      </c>
      <c r="J8" s="16" t="s">
        <v>12</v>
      </c>
      <c r="K8" s="16" t="s">
        <v>12</v>
      </c>
      <c r="L8" s="14" t="str">
        <f aca="false">IF(COUNTIF(D8:K8,"A")=1,"OK","FIX")</f>
        <v>OK</v>
      </c>
    </row>
    <row r="9" customFormat="false" ht="15" hidden="false" customHeight="false" outlineLevel="0" collapsed="false">
      <c r="A9" s="15" t="s">
        <v>54</v>
      </c>
      <c r="B9" s="15" t="s">
        <v>55</v>
      </c>
      <c r="C9" s="15" t="s">
        <v>56</v>
      </c>
      <c r="D9" s="12" t="s">
        <v>10</v>
      </c>
      <c r="E9" s="12" t="s">
        <v>10</v>
      </c>
      <c r="F9" s="18" t="s">
        <v>6</v>
      </c>
      <c r="G9" s="13" t="s">
        <v>8</v>
      </c>
      <c r="H9" s="16" t="s">
        <v>12</v>
      </c>
      <c r="I9" s="12" t="s">
        <v>10</v>
      </c>
      <c r="J9" s="16" t="s">
        <v>12</v>
      </c>
      <c r="K9" s="16" t="s">
        <v>12</v>
      </c>
      <c r="L9" s="17" t="str">
        <f aca="false">IF(COUNTIF(D9:K9,"A")=1,"OK","FIX")</f>
        <v>OK</v>
      </c>
    </row>
    <row r="10" customFormat="false" ht="15" hidden="false" customHeight="false" outlineLevel="0" collapsed="false">
      <c r="A10" s="11" t="s">
        <v>57</v>
      </c>
      <c r="B10" s="11" t="s">
        <v>55</v>
      </c>
      <c r="C10" s="11" t="s">
        <v>58</v>
      </c>
      <c r="D10" s="12" t="s">
        <v>10</v>
      </c>
      <c r="E10" s="12" t="s">
        <v>10</v>
      </c>
      <c r="F10" s="18" t="s">
        <v>6</v>
      </c>
      <c r="G10" s="13" t="s">
        <v>8</v>
      </c>
      <c r="H10" s="12" t="s">
        <v>10</v>
      </c>
      <c r="I10" s="16" t="s">
        <v>12</v>
      </c>
      <c r="J10" s="12" t="s">
        <v>10</v>
      </c>
      <c r="K10" s="16" t="s">
        <v>12</v>
      </c>
      <c r="L10" s="14" t="str">
        <f aca="false">IF(COUNTIF(D10:K10,"A")=1,"OK","FIX")</f>
        <v>OK</v>
      </c>
    </row>
    <row r="11" customFormat="false" ht="15" hidden="false" customHeight="false" outlineLevel="0" collapsed="false">
      <c r="A11" s="15" t="s">
        <v>59</v>
      </c>
      <c r="B11" s="15" t="s">
        <v>55</v>
      </c>
      <c r="C11" s="15" t="s">
        <v>60</v>
      </c>
      <c r="D11" s="12" t="s">
        <v>10</v>
      </c>
      <c r="E11" s="12" t="s">
        <v>10</v>
      </c>
      <c r="F11" s="18" t="s">
        <v>6</v>
      </c>
      <c r="G11" s="13" t="s">
        <v>8</v>
      </c>
      <c r="H11" s="16" t="s">
        <v>12</v>
      </c>
      <c r="I11" s="16" t="s">
        <v>12</v>
      </c>
      <c r="J11" s="12" t="s">
        <v>10</v>
      </c>
      <c r="K11" s="16" t="s">
        <v>12</v>
      </c>
      <c r="L11" s="17" t="str">
        <f aca="false">IF(COUNTIF(D11:K11,"A")=1,"OK","FIX")</f>
        <v>OK</v>
      </c>
    </row>
    <row r="12" customFormat="false" ht="15" hidden="false" customHeight="false" outlineLevel="0" collapsed="false">
      <c r="A12" s="11" t="s">
        <v>61</v>
      </c>
      <c r="B12" s="11" t="s">
        <v>55</v>
      </c>
      <c r="C12" s="11" t="s">
        <v>62</v>
      </c>
      <c r="D12" s="12" t="s">
        <v>10</v>
      </c>
      <c r="E12" s="12" t="s">
        <v>10</v>
      </c>
      <c r="F12" s="18" t="s">
        <v>6</v>
      </c>
      <c r="G12" s="13" t="s">
        <v>8</v>
      </c>
      <c r="H12" s="12" t="s">
        <v>10</v>
      </c>
      <c r="I12" s="16" t="s">
        <v>12</v>
      </c>
      <c r="J12" s="12" t="s">
        <v>10</v>
      </c>
      <c r="K12" s="16" t="s">
        <v>12</v>
      </c>
      <c r="L12" s="14" t="str">
        <f aca="false">IF(COUNTIF(D12:K12,"A")=1,"OK","FIX")</f>
        <v>OK</v>
      </c>
    </row>
    <row r="13" customFormat="false" ht="15" hidden="false" customHeight="false" outlineLevel="0" collapsed="false">
      <c r="A13" s="15" t="s">
        <v>63</v>
      </c>
      <c r="B13" s="15" t="s">
        <v>55</v>
      </c>
      <c r="C13" s="15" t="s">
        <v>64</v>
      </c>
      <c r="D13" s="12" t="s">
        <v>10</v>
      </c>
      <c r="E13" s="12" t="s">
        <v>10</v>
      </c>
      <c r="F13" s="12" t="s">
        <v>10</v>
      </c>
      <c r="G13" s="18" t="s">
        <v>6</v>
      </c>
      <c r="H13" s="13" t="s">
        <v>8</v>
      </c>
      <c r="I13" s="16" t="s">
        <v>12</v>
      </c>
      <c r="J13" s="16" t="s">
        <v>12</v>
      </c>
      <c r="K13" s="16" t="s">
        <v>12</v>
      </c>
      <c r="L13" s="17" t="str">
        <f aca="false">IF(COUNTIF(D13:K13,"A")=1,"OK","FIX")</f>
        <v>OK</v>
      </c>
    </row>
    <row r="14" customFormat="false" ht="15" hidden="false" customHeight="false" outlineLevel="0" collapsed="false">
      <c r="A14" s="11" t="s">
        <v>65</v>
      </c>
      <c r="B14" s="11" t="s">
        <v>55</v>
      </c>
      <c r="C14" s="11" t="s">
        <v>66</v>
      </c>
      <c r="D14" s="12" t="s">
        <v>10</v>
      </c>
      <c r="E14" s="12" t="s">
        <v>10</v>
      </c>
      <c r="F14" s="12" t="s">
        <v>10</v>
      </c>
      <c r="G14" s="13" t="s">
        <v>8</v>
      </c>
      <c r="H14" s="12" t="s">
        <v>10</v>
      </c>
      <c r="I14" s="12" t="s">
        <v>10</v>
      </c>
      <c r="J14" s="12" t="s">
        <v>10</v>
      </c>
      <c r="K14" s="12" t="s">
        <v>10</v>
      </c>
      <c r="L14" s="14" t="str">
        <f aca="false">IF(COUNTIF(D14:K14,"A")=1,"OK","FIX")</f>
        <v>OK</v>
      </c>
    </row>
    <row r="15" customFormat="false" ht="15" hidden="false" customHeight="false" outlineLevel="0" collapsed="false">
      <c r="A15" s="15" t="s">
        <v>67</v>
      </c>
      <c r="B15" s="15" t="s">
        <v>55</v>
      </c>
      <c r="C15" s="15" t="s">
        <v>68</v>
      </c>
      <c r="D15" s="12" t="s">
        <v>10</v>
      </c>
      <c r="E15" s="18" t="s">
        <v>6</v>
      </c>
      <c r="F15" s="12" t="s">
        <v>10</v>
      </c>
      <c r="G15" s="13" t="s">
        <v>8</v>
      </c>
      <c r="H15" s="12" t="s">
        <v>10</v>
      </c>
      <c r="I15" s="12" t="s">
        <v>10</v>
      </c>
      <c r="J15" s="12" t="s">
        <v>10</v>
      </c>
      <c r="K15" s="12" t="s">
        <v>10</v>
      </c>
      <c r="L15" s="17" t="str">
        <f aca="false">IF(COUNTIF(D15:K15,"A")=1,"OK","FIX")</f>
        <v>OK</v>
      </c>
    </row>
    <row r="16" customFormat="false" ht="15" hidden="false" customHeight="false" outlineLevel="0" collapsed="false">
      <c r="A16" s="11" t="s">
        <v>69</v>
      </c>
      <c r="B16" s="11" t="s">
        <v>55</v>
      </c>
      <c r="C16" s="11" t="s">
        <v>70</v>
      </c>
      <c r="D16" s="16" t="s">
        <v>12</v>
      </c>
      <c r="E16" s="16" t="s">
        <v>12</v>
      </c>
      <c r="F16" s="16" t="s">
        <v>12</v>
      </c>
      <c r="G16" s="13" t="s">
        <v>8</v>
      </c>
      <c r="H16" s="16" t="s">
        <v>12</v>
      </c>
      <c r="I16" s="12" t="s">
        <v>10</v>
      </c>
      <c r="J16" s="12" t="s">
        <v>10</v>
      </c>
      <c r="K16" s="16" t="s">
        <v>12</v>
      </c>
      <c r="L16" s="14" t="str">
        <f aca="false">IF(COUNTIF(D16:K16,"A")=1,"OK","FIX")</f>
        <v>OK</v>
      </c>
    </row>
    <row r="17" customFormat="false" ht="15" hidden="false" customHeight="false" outlineLevel="0" collapsed="false">
      <c r="A17" s="15" t="s">
        <v>71</v>
      </c>
      <c r="B17" s="15" t="s">
        <v>55</v>
      </c>
      <c r="C17" s="15" t="s">
        <v>72</v>
      </c>
      <c r="D17" s="12" t="s">
        <v>10</v>
      </c>
      <c r="E17" s="13" t="s">
        <v>8</v>
      </c>
      <c r="F17" s="12" t="s">
        <v>10</v>
      </c>
      <c r="G17" s="18" t="s">
        <v>6</v>
      </c>
      <c r="H17" s="16" t="s">
        <v>12</v>
      </c>
      <c r="I17" s="16" t="s">
        <v>12</v>
      </c>
      <c r="J17" s="12" t="s">
        <v>10</v>
      </c>
      <c r="K17" s="16" t="s">
        <v>12</v>
      </c>
      <c r="L17" s="17" t="str">
        <f aca="false">IF(COUNTIF(D17:K17,"A")=1,"OK","FIX")</f>
        <v>OK</v>
      </c>
    </row>
    <row r="18" customFormat="false" ht="15" hidden="false" customHeight="false" outlineLevel="0" collapsed="false">
      <c r="A18" s="11" t="s">
        <v>73</v>
      </c>
      <c r="B18" s="11" t="s">
        <v>74</v>
      </c>
      <c r="C18" s="11" t="s">
        <v>75</v>
      </c>
      <c r="D18" s="12" t="s">
        <v>10</v>
      </c>
      <c r="E18" s="12" t="s">
        <v>10</v>
      </c>
      <c r="F18" s="12" t="s">
        <v>10</v>
      </c>
      <c r="G18" s="13" t="s">
        <v>8</v>
      </c>
      <c r="H18" s="12" t="s">
        <v>10</v>
      </c>
      <c r="I18" s="12" t="s">
        <v>10</v>
      </c>
      <c r="J18" s="12" t="s">
        <v>10</v>
      </c>
      <c r="K18" s="16" t="s">
        <v>12</v>
      </c>
      <c r="L18" s="14" t="str">
        <f aca="false">IF(COUNTIF(D18:K18,"A")=1,"OK","FIX")</f>
        <v>OK</v>
      </c>
    </row>
    <row r="19" customFormat="false" ht="15" hidden="false" customHeight="false" outlineLevel="0" collapsed="false">
      <c r="A19" s="15" t="s">
        <v>76</v>
      </c>
      <c r="B19" s="15" t="s">
        <v>77</v>
      </c>
      <c r="C19" s="15" t="s">
        <v>78</v>
      </c>
      <c r="D19" s="16" t="s">
        <v>12</v>
      </c>
      <c r="E19" s="16" t="s">
        <v>12</v>
      </c>
      <c r="F19" s="16" t="s">
        <v>12</v>
      </c>
      <c r="G19" s="13" t="s">
        <v>8</v>
      </c>
      <c r="H19" s="16" t="s">
        <v>12</v>
      </c>
      <c r="I19" s="16" t="s">
        <v>12</v>
      </c>
      <c r="J19" s="16" t="s">
        <v>12</v>
      </c>
      <c r="K19" s="16" t="s">
        <v>12</v>
      </c>
      <c r="L19" s="17" t="str">
        <f aca="false">IF(COUNTIF(D19:K19,"A")=1,"OK","FIX")</f>
        <v>OK</v>
      </c>
    </row>
    <row r="20" customFormat="false" ht="15" hidden="false" customHeight="false" outlineLevel="0" collapsed="false">
      <c r="A20" s="11" t="s">
        <v>79</v>
      </c>
      <c r="B20" s="11" t="s">
        <v>80</v>
      </c>
      <c r="C20" s="11" t="s">
        <v>81</v>
      </c>
      <c r="D20" s="12" t="s">
        <v>10</v>
      </c>
      <c r="E20" s="12" t="s">
        <v>10</v>
      </c>
      <c r="F20" s="12" t="s">
        <v>10</v>
      </c>
      <c r="G20" s="13" t="s">
        <v>8</v>
      </c>
      <c r="H20" s="12" t="s">
        <v>10</v>
      </c>
      <c r="I20" s="12" t="s">
        <v>10</v>
      </c>
      <c r="J20" s="12" t="s">
        <v>10</v>
      </c>
      <c r="K20" s="16" t="s">
        <v>12</v>
      </c>
      <c r="L20" s="14" t="str">
        <f aca="false">IF(COUNTIF(D20:K20,"A")=1,"OK","FIX")</f>
        <v>OK</v>
      </c>
    </row>
    <row r="21" customFormat="false" ht="15" hidden="false" customHeight="false" outlineLevel="0" collapsed="false">
      <c r="A21" s="15" t="s">
        <v>82</v>
      </c>
      <c r="B21" s="15" t="s">
        <v>83</v>
      </c>
      <c r="C21" s="15" t="s">
        <v>84</v>
      </c>
      <c r="D21" s="16" t="s">
        <v>12</v>
      </c>
      <c r="E21" s="12" t="s">
        <v>10</v>
      </c>
      <c r="F21" s="16" t="s">
        <v>12</v>
      </c>
      <c r="G21" s="13" t="s">
        <v>8</v>
      </c>
      <c r="H21" s="16" t="s">
        <v>12</v>
      </c>
      <c r="I21" s="16" t="s">
        <v>12</v>
      </c>
      <c r="J21" s="16" t="s">
        <v>12</v>
      </c>
      <c r="K21" s="16" t="s">
        <v>12</v>
      </c>
      <c r="L21" s="17" t="str">
        <f aca="false">IF(COUNTIF(D21:K21,"A")=1,"OK","FIX")</f>
        <v>OK</v>
      </c>
    </row>
    <row r="22" customFormat="false" ht="15" hidden="false" customHeight="false" outlineLevel="0" collapsed="false">
      <c r="A22" s="11" t="s">
        <v>85</v>
      </c>
      <c r="B22" s="11" t="s">
        <v>83</v>
      </c>
      <c r="C22" s="11" t="s">
        <v>86</v>
      </c>
      <c r="D22" s="16" t="s">
        <v>12</v>
      </c>
      <c r="E22" s="16" t="s">
        <v>12</v>
      </c>
      <c r="F22" s="16" t="s">
        <v>12</v>
      </c>
      <c r="G22" s="13" t="s">
        <v>8</v>
      </c>
      <c r="H22" s="16" t="s">
        <v>12</v>
      </c>
      <c r="I22" s="16" t="s">
        <v>12</v>
      </c>
      <c r="J22" s="16" t="s">
        <v>12</v>
      </c>
      <c r="K22" s="16" t="s">
        <v>12</v>
      </c>
      <c r="L22" s="14" t="str">
        <f aca="false">IF(COUNTIF(D22:K22,"A")=1,"OK","FIX")</f>
        <v>OK</v>
      </c>
    </row>
    <row r="23" customFormat="false" ht="15" hidden="false" customHeight="false" outlineLevel="0" collapsed="false">
      <c r="A23" s="15" t="s">
        <v>87</v>
      </c>
      <c r="B23" s="15" t="s">
        <v>83</v>
      </c>
      <c r="C23" s="15" t="s">
        <v>88</v>
      </c>
      <c r="D23" s="16" t="s">
        <v>12</v>
      </c>
      <c r="E23" s="12" t="s">
        <v>10</v>
      </c>
      <c r="F23" s="16" t="s">
        <v>12</v>
      </c>
      <c r="G23" s="13" t="s">
        <v>8</v>
      </c>
      <c r="H23" s="16" t="s">
        <v>12</v>
      </c>
      <c r="I23" s="16" t="s">
        <v>12</v>
      </c>
      <c r="J23" s="12" t="s">
        <v>10</v>
      </c>
      <c r="K23" s="16" t="s">
        <v>12</v>
      </c>
      <c r="L23" s="17" t="str">
        <f aca="false">IF(COUNTIF(D23:K23,"A")=1,"OK","FIX")</f>
        <v>OK</v>
      </c>
    </row>
    <row r="24" customFormat="false" ht="15" hidden="false" customHeight="false" outlineLevel="0" collapsed="false">
      <c r="C24" s="19" t="s">
        <v>89</v>
      </c>
      <c r="D24" s="20" t="n">
        <f aca="false">COUNTIF(D6:D23,"A")</f>
        <v>0</v>
      </c>
      <c r="E24" s="20" t="n">
        <f aca="false">COUNTIF(E6:E23,"A")</f>
        <v>1</v>
      </c>
      <c r="F24" s="20" t="n">
        <f aca="false">COUNTIF(F6:F23,"A")</f>
        <v>0</v>
      </c>
      <c r="G24" s="20" t="n">
        <f aca="false">COUNTIF(G6:G23,"A")</f>
        <v>16</v>
      </c>
      <c r="H24" s="20" t="n">
        <f aca="false">COUNTIF(H6:H23,"A")</f>
        <v>1</v>
      </c>
      <c r="I24" s="20" t="n">
        <f aca="false">COUNTIF(I6:I23,"A")</f>
        <v>0</v>
      </c>
      <c r="J24" s="20" t="n">
        <f aca="false">COUNTIF(J6:J23,"A")</f>
        <v>0</v>
      </c>
      <c r="K24" s="20" t="n">
        <f aca="false">COUNTIF(K6:K23,"A")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4"/>
    <col collapsed="false" customWidth="true" hidden="false" outlineLevel="0" max="11" min="3" style="1" width="9"/>
  </cols>
  <sheetData>
    <row r="1" customFormat="false" ht="17.35" hidden="false" customHeight="false" outlineLevel="0" collapsed="false">
      <c r="A1" s="6" t="s">
        <v>90</v>
      </c>
    </row>
    <row r="2" customFormat="false" ht="15" hidden="false" customHeight="false" outlineLevel="0" collapsed="false">
      <c r="A2" s="7" t="s">
        <v>91</v>
      </c>
    </row>
    <row r="4" customFormat="false" ht="25.5" hidden="false" customHeight="true" outlineLevel="0" collapsed="false">
      <c r="A4" s="8" t="s">
        <v>92</v>
      </c>
      <c r="B4" s="8" t="s">
        <v>93</v>
      </c>
      <c r="C4" s="8" t="s">
        <v>29</v>
      </c>
      <c r="D4" s="8" t="s">
        <v>30</v>
      </c>
      <c r="E4" s="8" t="s">
        <v>31</v>
      </c>
      <c r="F4" s="8" t="s">
        <v>32</v>
      </c>
      <c r="G4" s="8" t="s">
        <v>33</v>
      </c>
      <c r="H4" s="8" t="s">
        <v>34</v>
      </c>
      <c r="I4" s="8" t="s">
        <v>35</v>
      </c>
      <c r="J4" s="8" t="s">
        <v>36</v>
      </c>
      <c r="K4" s="8" t="s">
        <v>37</v>
      </c>
    </row>
    <row r="5" customFormat="false" ht="30" hidden="false" customHeight="true" outlineLevel="0" collapsed="false">
      <c r="A5" s="9"/>
      <c r="B5" s="9"/>
      <c r="C5" s="10" t="s">
        <v>38</v>
      </c>
      <c r="D5" s="10" t="s">
        <v>39</v>
      </c>
      <c r="E5" s="10" t="s">
        <v>40</v>
      </c>
      <c r="F5" s="10" t="s">
        <v>41</v>
      </c>
      <c r="G5" s="10" t="s">
        <v>42</v>
      </c>
      <c r="H5" s="10" t="s">
        <v>43</v>
      </c>
      <c r="I5" s="10" t="s">
        <v>44</v>
      </c>
      <c r="J5" s="10" t="s">
        <v>45</v>
      </c>
      <c r="K5" s="9"/>
    </row>
    <row r="6" customFormat="false" ht="15" hidden="false" customHeight="false" outlineLevel="0" collapsed="false">
      <c r="A6" s="14" t="n">
        <v>1</v>
      </c>
      <c r="B6" s="11" t="s">
        <v>94</v>
      </c>
      <c r="C6" s="18" t="s">
        <v>6</v>
      </c>
      <c r="D6" s="18" t="s">
        <v>6</v>
      </c>
      <c r="E6" s="18" t="s">
        <v>6</v>
      </c>
      <c r="F6" s="18" t="s">
        <v>6</v>
      </c>
      <c r="G6" s="18" t="s">
        <v>6</v>
      </c>
      <c r="H6" s="18" t="s">
        <v>6</v>
      </c>
      <c r="I6" s="18" t="s">
        <v>6</v>
      </c>
      <c r="J6" s="18" t="s">
        <v>6</v>
      </c>
      <c r="K6" s="14" t="str">
        <f aca="false">IF(COUNTIF(C6:J6,"A")&lt;=1,"OK","FIX")</f>
        <v>OK</v>
      </c>
    </row>
    <row r="7" customFormat="false" ht="15" hidden="false" customHeight="false" outlineLevel="0" collapsed="false">
      <c r="A7" s="17" t="n">
        <v>2</v>
      </c>
      <c r="B7" s="15" t="s">
        <v>95</v>
      </c>
      <c r="C7" s="12" t="s">
        <v>10</v>
      </c>
      <c r="D7" s="12" t="s">
        <v>10</v>
      </c>
      <c r="E7" s="12" t="s">
        <v>10</v>
      </c>
      <c r="F7" s="13" t="s">
        <v>8</v>
      </c>
      <c r="G7" s="16" t="s">
        <v>12</v>
      </c>
      <c r="H7" s="16" t="s">
        <v>12</v>
      </c>
      <c r="I7" s="12" t="s">
        <v>10</v>
      </c>
      <c r="J7" s="16" t="s">
        <v>12</v>
      </c>
      <c r="K7" s="17" t="str">
        <f aca="false">IF(COUNTIF(C7:J7,"A")&lt;=1,"OK","FIX")</f>
        <v>OK</v>
      </c>
    </row>
    <row r="8" customFormat="false" ht="15" hidden="false" customHeight="false" outlineLevel="0" collapsed="false">
      <c r="A8" s="14" t="n">
        <v>3</v>
      </c>
      <c r="B8" s="11" t="s">
        <v>96</v>
      </c>
      <c r="C8" s="16" t="s">
        <v>12</v>
      </c>
      <c r="D8" s="16" t="s">
        <v>12</v>
      </c>
      <c r="E8" s="16" t="s">
        <v>12</v>
      </c>
      <c r="F8" s="13" t="s">
        <v>8</v>
      </c>
      <c r="G8" s="16" t="s">
        <v>12</v>
      </c>
      <c r="H8" s="16" t="s">
        <v>12</v>
      </c>
      <c r="I8" s="16" t="s">
        <v>12</v>
      </c>
      <c r="J8" s="16" t="s">
        <v>12</v>
      </c>
      <c r="K8" s="14" t="str">
        <f aca="false">IF(COUNTIF(C8:J8,"A")&lt;=1,"OK","FIX")</f>
        <v>OK</v>
      </c>
    </row>
    <row r="9" customFormat="false" ht="15" hidden="false" customHeight="false" outlineLevel="0" collapsed="false">
      <c r="A9" s="17" t="n">
        <v>4</v>
      </c>
      <c r="B9" s="15" t="s">
        <v>97</v>
      </c>
      <c r="C9" s="12" t="s">
        <v>10</v>
      </c>
      <c r="D9" s="13" t="s">
        <v>8</v>
      </c>
      <c r="E9" s="12" t="s">
        <v>10</v>
      </c>
      <c r="F9" s="18" t="s">
        <v>6</v>
      </c>
      <c r="G9" s="16" t="s">
        <v>12</v>
      </c>
      <c r="H9" s="16" t="s">
        <v>12</v>
      </c>
      <c r="I9" s="18" t="s">
        <v>6</v>
      </c>
      <c r="J9" s="16" t="s">
        <v>12</v>
      </c>
      <c r="K9" s="17" t="str">
        <f aca="false">IF(COUNTIF(C9:J9,"A")&lt;=1,"OK","FIX")</f>
        <v>OK</v>
      </c>
    </row>
    <row r="10" customFormat="false" ht="15" hidden="false" customHeight="false" outlineLevel="0" collapsed="false">
      <c r="A10" s="14" t="n">
        <v>5</v>
      </c>
      <c r="B10" s="11" t="s">
        <v>98</v>
      </c>
      <c r="C10" s="16" t="s">
        <v>12</v>
      </c>
      <c r="D10" s="12" t="s">
        <v>10</v>
      </c>
      <c r="E10" s="12" t="s">
        <v>10</v>
      </c>
      <c r="F10" s="13" t="s">
        <v>8</v>
      </c>
      <c r="G10" s="18" t="s">
        <v>6</v>
      </c>
      <c r="H10" s="16" t="s">
        <v>12</v>
      </c>
      <c r="I10" s="12" t="s">
        <v>10</v>
      </c>
      <c r="J10" s="12" t="s">
        <v>10</v>
      </c>
      <c r="K10" s="14" t="str">
        <f aca="false">IF(COUNTIF(C10:J10,"A")&lt;=1,"OK","FIX")</f>
        <v>OK</v>
      </c>
    </row>
    <row r="11" customFormat="false" ht="15" hidden="false" customHeight="false" outlineLevel="0" collapsed="false">
      <c r="A11" s="17" t="n">
        <v>6</v>
      </c>
      <c r="B11" s="15" t="s">
        <v>99</v>
      </c>
      <c r="C11" s="12" t="s">
        <v>10</v>
      </c>
      <c r="D11" s="12" t="s">
        <v>10</v>
      </c>
      <c r="E11" s="12" t="s">
        <v>10</v>
      </c>
      <c r="F11" s="13" t="s">
        <v>8</v>
      </c>
      <c r="G11" s="12" t="s">
        <v>10</v>
      </c>
      <c r="H11" s="12" t="s">
        <v>10</v>
      </c>
      <c r="I11" s="12" t="s">
        <v>10</v>
      </c>
      <c r="J11" s="16" t="s">
        <v>12</v>
      </c>
      <c r="K11" s="17" t="str">
        <f aca="false">IF(COUNTIF(C11:J11,"A")&lt;=1,"OK","FIX")</f>
        <v>OK</v>
      </c>
    </row>
    <row r="12" customFormat="false" ht="15" hidden="false" customHeight="false" outlineLevel="0" collapsed="false">
      <c r="A12" s="14" t="n">
        <v>7</v>
      </c>
      <c r="B12" s="11" t="s">
        <v>100</v>
      </c>
      <c r="C12" s="12" t="s">
        <v>10</v>
      </c>
      <c r="D12" s="12" t="s">
        <v>10</v>
      </c>
      <c r="E12" s="12" t="s">
        <v>10</v>
      </c>
      <c r="F12" s="13" t="s">
        <v>8</v>
      </c>
      <c r="G12" s="12" t="s">
        <v>10</v>
      </c>
      <c r="H12" s="12" t="s">
        <v>10</v>
      </c>
      <c r="I12" s="12" t="s">
        <v>10</v>
      </c>
      <c r="J12" s="12" t="s">
        <v>10</v>
      </c>
      <c r="K12" s="14" t="str">
        <f aca="false">IF(COUNTIF(C12:J12,"A")&lt;=1,"OK","FIX")</f>
        <v>OK</v>
      </c>
    </row>
    <row r="13" customFormat="false" ht="15" hidden="false" customHeight="false" outlineLevel="0" collapsed="false">
      <c r="A13" s="17" t="n">
        <v>8</v>
      </c>
      <c r="B13" s="15" t="s">
        <v>101</v>
      </c>
      <c r="C13" s="16" t="s">
        <v>12</v>
      </c>
      <c r="D13" s="16" t="s">
        <v>12</v>
      </c>
      <c r="E13" s="16" t="s">
        <v>12</v>
      </c>
      <c r="F13" s="13" t="s">
        <v>8</v>
      </c>
      <c r="G13" s="16" t="s">
        <v>12</v>
      </c>
      <c r="H13" s="16" t="s">
        <v>12</v>
      </c>
      <c r="I13" s="16" t="s">
        <v>12</v>
      </c>
      <c r="J13" s="16" t="s">
        <v>12</v>
      </c>
      <c r="K13" s="17" t="str">
        <f aca="false">IF(COUNTIF(C13:J13,"A")&lt;=1,"OK","FIX")</f>
        <v>OK</v>
      </c>
    </row>
    <row r="14" customFormat="false" ht="15" hidden="false" customHeight="false" outlineLevel="0" collapsed="false">
      <c r="A14" s="14" t="n">
        <v>9</v>
      </c>
      <c r="B14" s="11" t="s">
        <v>102</v>
      </c>
      <c r="C14" s="12" t="s">
        <v>10</v>
      </c>
      <c r="D14" s="12" t="s">
        <v>10</v>
      </c>
      <c r="E14" s="12" t="s">
        <v>10</v>
      </c>
      <c r="F14" s="13" t="s">
        <v>8</v>
      </c>
      <c r="G14" s="12" t="s">
        <v>10</v>
      </c>
      <c r="H14" s="12" t="s">
        <v>10</v>
      </c>
      <c r="I14" s="12" t="s">
        <v>10</v>
      </c>
      <c r="J14" s="16" t="s">
        <v>12</v>
      </c>
      <c r="K14" s="14" t="str">
        <f aca="false">IF(COUNTIF(C14:J14,"A")&lt;=1,"OK","FIX")</f>
        <v>OK</v>
      </c>
    </row>
    <row r="15" customFormat="false" ht="15" hidden="false" customHeight="false" outlineLevel="0" collapsed="false">
      <c r="A15" s="17" t="n">
        <v>10</v>
      </c>
      <c r="B15" s="15" t="s">
        <v>103</v>
      </c>
      <c r="C15" s="12" t="s">
        <v>10</v>
      </c>
      <c r="D15" s="12" t="s">
        <v>10</v>
      </c>
      <c r="E15" s="12" t="s">
        <v>10</v>
      </c>
      <c r="F15" s="13" t="s">
        <v>8</v>
      </c>
      <c r="G15" s="12" t="s">
        <v>10</v>
      </c>
      <c r="H15" s="12" t="s">
        <v>10</v>
      </c>
      <c r="I15" s="12" t="s">
        <v>10</v>
      </c>
      <c r="J15" s="16" t="s">
        <v>12</v>
      </c>
      <c r="K15" s="17" t="str">
        <f aca="false">IF(COUNTIF(C15:J15,"A")&lt;=1,"OK","FIX")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8"/>
    <col collapsed="false" customWidth="true" hidden="false" outlineLevel="0" max="3" min="3" style="1" width="72"/>
  </cols>
  <sheetData>
    <row r="1" customFormat="false" ht="17.35" hidden="false" customHeight="false" outlineLevel="0" collapsed="false">
      <c r="A1" s="6" t="s">
        <v>104</v>
      </c>
    </row>
    <row r="3" customFormat="false" ht="15" hidden="false" customHeight="false" outlineLevel="0" collapsed="false">
      <c r="A3" s="8" t="s">
        <v>105</v>
      </c>
      <c r="B3" s="8" t="s">
        <v>106</v>
      </c>
      <c r="C3" s="8" t="s">
        <v>107</v>
      </c>
    </row>
    <row r="4" customFormat="false" ht="15" hidden="false" customHeight="false" outlineLevel="0" collapsed="false">
      <c r="A4" s="18" t="s">
        <v>6</v>
      </c>
      <c r="B4" s="11" t="s">
        <v>108</v>
      </c>
      <c r="C4" s="11" t="s">
        <v>109</v>
      </c>
    </row>
    <row r="5" customFormat="false" ht="15" hidden="false" customHeight="false" outlineLevel="0" collapsed="false">
      <c r="A5" s="13" t="s">
        <v>8</v>
      </c>
      <c r="B5" s="11" t="s">
        <v>110</v>
      </c>
      <c r="C5" s="11" t="s">
        <v>111</v>
      </c>
    </row>
    <row r="6" customFormat="false" ht="15" hidden="false" customHeight="false" outlineLevel="0" collapsed="false">
      <c r="A6" s="12" t="s">
        <v>10</v>
      </c>
      <c r="B6" s="11" t="s">
        <v>112</v>
      </c>
      <c r="C6" s="11" t="s">
        <v>113</v>
      </c>
    </row>
    <row r="7" customFormat="false" ht="15" hidden="false" customHeight="false" outlineLevel="0" collapsed="false">
      <c r="A7" s="16" t="s">
        <v>12</v>
      </c>
      <c r="B7" s="11" t="s">
        <v>114</v>
      </c>
      <c r="C7" s="11" t="s">
        <v>115</v>
      </c>
    </row>
    <row r="8" customFormat="false" ht="15" hidden="false" customHeight="false" outlineLevel="0" collapsed="false">
      <c r="A8" s="14"/>
      <c r="B8" s="11" t="s">
        <v>116</v>
      </c>
      <c r="C8" s="11" t="s">
        <v>15</v>
      </c>
    </row>
    <row r="11" customFormat="false" ht="15" hidden="false" customHeight="false" outlineLevel="0" collapsed="false">
      <c r="A11" s="21" t="s">
        <v>117</v>
      </c>
    </row>
    <row r="12" customFormat="false" ht="15" hidden="false" customHeight="false" outlineLevel="0" collapsed="false">
      <c r="A12" s="8" t="s">
        <v>105</v>
      </c>
      <c r="B12" s="8" t="s">
        <v>118</v>
      </c>
    </row>
    <row r="13" customFormat="false" ht="20.85" hidden="false" customHeight="false" outlineLevel="0" collapsed="false">
      <c r="A13" s="14" t="s">
        <v>29</v>
      </c>
      <c r="B13" s="11" t="s">
        <v>38</v>
      </c>
    </row>
    <row r="14" customFormat="false" ht="15" hidden="false" customHeight="false" outlineLevel="0" collapsed="false">
      <c r="A14" s="14" t="s">
        <v>30</v>
      </c>
      <c r="B14" s="11" t="s">
        <v>39</v>
      </c>
    </row>
    <row r="15" customFormat="false" ht="15" hidden="false" customHeight="false" outlineLevel="0" collapsed="false">
      <c r="A15" s="14" t="s">
        <v>31</v>
      </c>
      <c r="B15" s="11" t="s">
        <v>40</v>
      </c>
    </row>
    <row r="16" customFormat="false" ht="15" hidden="false" customHeight="false" outlineLevel="0" collapsed="false">
      <c r="A16" s="14" t="s">
        <v>32</v>
      </c>
      <c r="B16" s="11" t="s">
        <v>41</v>
      </c>
    </row>
    <row r="17" customFormat="false" ht="15" hidden="false" customHeight="false" outlineLevel="0" collapsed="false">
      <c r="A17" s="14" t="s">
        <v>33</v>
      </c>
      <c r="B17" s="11" t="s">
        <v>42</v>
      </c>
    </row>
    <row r="18" customFormat="false" ht="20.85" hidden="false" customHeight="false" outlineLevel="0" collapsed="false">
      <c r="A18" s="14" t="s">
        <v>34</v>
      </c>
      <c r="B18" s="11" t="s">
        <v>43</v>
      </c>
    </row>
    <row r="19" customFormat="false" ht="15" hidden="false" customHeight="false" outlineLevel="0" collapsed="false">
      <c r="A19" s="14" t="s">
        <v>35</v>
      </c>
      <c r="B19" s="11" t="s">
        <v>44</v>
      </c>
    </row>
    <row r="20" customFormat="false" ht="15" hidden="false" customHeight="false" outlineLevel="0" collapsed="false">
      <c r="A20" s="14" t="s">
        <v>36</v>
      </c>
      <c r="B20" s="11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2026-05-26T19:56:56Z</dcterms:created>
  <dc:creator>openpyxl</dc:creator>
  <dc:description/>
  <dc:language>en-US</dc:language>
  <cp:lastModifiedBy/>
  <dcterms:modified xsi:type="dcterms:W3CDTF">2026-05-26T19:56:56Z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